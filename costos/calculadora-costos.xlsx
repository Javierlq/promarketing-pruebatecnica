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_\OneDrive\Documentos\GitHub\promarketing-pruebatecnica\costos\"/>
    </mc:Choice>
  </mc:AlternateContent>
  <xr:revisionPtr revIDLastSave="0" documentId="13_ncr:1_{DA644DDD-E08D-4A8E-B6F5-E7273431C5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talle costos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8" i="1"/>
  <c r="D6" i="1"/>
  <c r="D2" i="1"/>
  <c r="B6" i="2" s="1"/>
  <c r="B5" i="2"/>
  <c r="B2" i="2" l="1"/>
  <c r="B3" i="2" s="1"/>
  <c r="B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Estimacion</author>
  </authors>
  <commentList>
    <comment ref="D10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Asuncion: 8 RPU x $0.42/RPU-h (ca-central-1) x ~40 h/mes de computo activo. Serverless solo factura el computo en uso; idle = $0.</t>
        </r>
      </text>
    </comment>
  </commentList>
</comments>
</file>

<file path=xl/sharedStrings.xml><?xml version="1.0" encoding="utf-8"?>
<sst xmlns="http://schemas.openxmlformats.org/spreadsheetml/2006/main" count="30" uniqueCount="30">
  <si>
    <t>Servicio</t>
  </si>
  <si>
    <t>Descripción</t>
  </si>
  <si>
    <t>Cantidad</t>
  </si>
  <si>
    <t>Estimado mensual USD</t>
  </si>
  <si>
    <t>EC2</t>
  </si>
  <si>
    <t>Instancias privadas t3.micro + EBS (4, en 3 AZs)</t>
  </si>
  <si>
    <t>RDS</t>
  </si>
  <si>
    <t>PosgreSQL db.t3.micro, Multi-AZ, 20GB</t>
  </si>
  <si>
    <t>ALB</t>
  </si>
  <si>
    <t>Balanceador activo + LCU estimadas</t>
  </si>
  <si>
    <t>NAT Gateway</t>
  </si>
  <si>
    <t>NAT + EIP + datos procesados</t>
  </si>
  <si>
    <t>S3 + CloudFront</t>
  </si>
  <si>
    <t>Contenido estático privado + CDN</t>
  </si>
  <si>
    <t>Redis</t>
  </si>
  <si>
    <t>ElastiCache cache.t3.micro, 2 nodos Multi-AZ</t>
  </si>
  <si>
    <t>VPC Endpoints</t>
  </si>
  <si>
    <t>S3 Gateway + Secrets Manager Interface (3 AZs)</t>
  </si>
  <si>
    <t>CloudWatch</t>
  </si>
  <si>
    <t>Logs, almacenamiento, alarmas y SNS</t>
  </si>
  <si>
    <t>Redshift</t>
  </si>
  <si>
    <t>Redshift Serverless 8 RPU (~40 h/mes activo)</t>
  </si>
  <si>
    <t>Total mensual estimado</t>
  </si>
  <si>
    <t>Item</t>
  </si>
  <si>
    <t>Valor</t>
  </si>
  <si>
    <t>Costo mensual total</t>
  </si>
  <si>
    <t>Costo anual total</t>
  </si>
  <si>
    <t>Costo fijo mensual</t>
  </si>
  <si>
    <t>Costo variable mensual</t>
  </si>
  <si>
    <t>Servicio de mayor 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</si>
</sst>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&quot;$&quot;#,##0"/>
    <numFmt numFmtId="165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>
      <alignment horizontal="left" vertical="center"/>
    </xf>
    <xf numFmtId="165" fontId="0" fillId="0" borderId="0" xfId="0" applyNumberFormat="1"/>
    <xf numFmtId="165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/>
    </xf>
    <xf numFmtId="0" fontId="0" fillId="2" borderId="0" xfId="0" applyFill="1"/>
    <xf numFmtId="165" fontId="0" fillId="2" borderId="0" xfId="0" applyNumberFormat="1" applyFill="1"/>
  </cellXfs>
  <cellStyles count="2">
    <cellStyle name="Moneda [0]" xfId="1" builtinId="7"/>
    <cellStyle name="Normal" xfId="0" builtinId="0"/>
  </cellStyles>
  <dxfs count="3">
    <dxf>
      <alignment horizontal="left" vertical="center"/>
    </dxf>
    <dxf>
      <alignment horizontal="center" vertical="center"/>
    </dxf>
    <dxf>
      <numFmt numFmtId="165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D13" totalsRowShown="0">
  <autoFilter ref="A1:D13" xr:uid="{00000000-0009-0000-0100-000001000000}"/>
  <tableColumns count="4">
    <tableColumn id="1" xr3:uid="{00000000-0010-0000-0000-000001000000}" name="Servicio"/>
    <tableColumn id="2" xr3:uid="{00000000-0010-0000-0000-000002000000}" name="Descripción"/>
    <tableColumn id="3" xr3:uid="{00000000-0010-0000-0000-000003000000}" name="Cantidad"/>
    <tableColumn id="6" xr3:uid="{00000000-0010-0000-0000-000006000000}" name="Estimado mensual USD" dataDxfId="2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B6" totalsRowShown="0" headerRowDxfId="1">
  <autoFilter ref="A1:B6" xr:uid="{00000000-0009-0000-0100-000002000000}"/>
  <tableColumns count="2">
    <tableColumn id="1" xr3:uid="{00000000-0010-0000-0100-000001000000}" name="Item" dataDxfId="0"/>
    <tableColumn id="2" xr3:uid="{00000000-0010-0000-0100-000002000000}" name="Valor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E12" sqref="E12"/>
    </sheetView>
  </sheetViews>
  <sheetFormatPr baseColWidth="10" defaultRowHeight="15" x14ac:dyDescent="0.25"/>
  <cols>
    <col min="1" max="1" width="22.5703125" bestFit="1" customWidth="1"/>
    <col min="2" max="2" width="35.85546875" bestFit="1" customWidth="1"/>
    <col min="3" max="3" width="11.140625" customWidth="1"/>
    <col min="4" max="4" width="19.7109375" customWidth="1"/>
    <col min="5" max="5" width="20.28515625" customWidth="1"/>
    <col min="6" max="6" width="23.5703125" customWidth="1"/>
    <col min="7" max="8" width="18.140625" bestFit="1" customWidth="1"/>
    <col min="9" max="9" width="15.5703125" bestFit="1" customWidth="1"/>
    <col min="10" max="10" width="4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4</v>
      </c>
      <c r="D2" s="6">
        <f>33.87</f>
        <v>33.869999999999997</v>
      </c>
    </row>
    <row r="3" spans="1:4" x14ac:dyDescent="0.25">
      <c r="A3" t="s">
        <v>6</v>
      </c>
      <c r="B3" t="s">
        <v>7</v>
      </c>
      <c r="C3">
        <v>1</v>
      </c>
      <c r="D3" s="6">
        <v>96.11</v>
      </c>
    </row>
    <row r="4" spans="1:4" x14ac:dyDescent="0.25">
      <c r="A4" t="s">
        <v>8</v>
      </c>
      <c r="B4" t="s">
        <v>9</v>
      </c>
      <c r="C4">
        <v>1</v>
      </c>
      <c r="D4" s="6">
        <v>50.19</v>
      </c>
    </row>
    <row r="5" spans="1:4" x14ac:dyDescent="0.25">
      <c r="A5" t="s">
        <v>10</v>
      </c>
      <c r="B5" t="s">
        <v>11</v>
      </c>
      <c r="C5">
        <v>1</v>
      </c>
      <c r="D5" s="6">
        <v>223</v>
      </c>
    </row>
    <row r="6" spans="1:4" x14ac:dyDescent="0.25">
      <c r="A6" t="s">
        <v>12</v>
      </c>
      <c r="B6" t="s">
        <v>13</v>
      </c>
      <c r="C6">
        <v>2</v>
      </c>
      <c r="D6" s="6">
        <f>1.49+200</f>
        <v>201.49</v>
      </c>
    </row>
    <row r="7" spans="1:4" x14ac:dyDescent="0.25">
      <c r="A7" t="s">
        <v>14</v>
      </c>
      <c r="B7" t="s">
        <v>15</v>
      </c>
      <c r="C7">
        <v>2</v>
      </c>
      <c r="D7" s="6">
        <v>27.74</v>
      </c>
    </row>
    <row r="8" spans="1:4" x14ac:dyDescent="0.25">
      <c r="A8" t="s">
        <v>16</v>
      </c>
      <c r="B8" t="s">
        <v>17</v>
      </c>
      <c r="C8">
        <v>2</v>
      </c>
      <c r="D8" s="6">
        <f>7+1.49+0.4</f>
        <v>8.89</v>
      </c>
    </row>
    <row r="9" spans="1:4" x14ac:dyDescent="0.25">
      <c r="A9" t="s">
        <v>18</v>
      </c>
      <c r="B9" t="s">
        <v>19</v>
      </c>
      <c r="C9">
        <v>1</v>
      </c>
      <c r="D9" s="6">
        <v>56.3</v>
      </c>
    </row>
    <row r="10" spans="1:4" x14ac:dyDescent="0.25">
      <c r="A10" t="s">
        <v>20</v>
      </c>
      <c r="B10" t="s">
        <v>21</v>
      </c>
      <c r="C10">
        <v>1</v>
      </c>
      <c r="D10" s="6">
        <v>100.65</v>
      </c>
    </row>
    <row r="11" spans="1:4" x14ac:dyDescent="0.25">
      <c r="D11" s="6"/>
    </row>
    <row r="13" spans="1:4" x14ac:dyDescent="0.25">
      <c r="A13" s="9" t="s">
        <v>22</v>
      </c>
      <c r="B13" s="9"/>
      <c r="C13" s="9"/>
      <c r="D13" s="10">
        <f>SUM(D2:D10)</f>
        <v>798.2399999999999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workbookViewId="0">
      <selection activeCell="B4" sqref="B4"/>
    </sheetView>
  </sheetViews>
  <sheetFormatPr baseColWidth="10" defaultRowHeight="15" x14ac:dyDescent="0.25"/>
  <cols>
    <col min="1" max="1" width="43.140625" customWidth="1"/>
    <col min="2" max="2" width="35.140625" bestFit="1" customWidth="1"/>
    <col min="3" max="3" width="29.7109375" bestFit="1" customWidth="1"/>
    <col min="4" max="4" width="19.5703125" bestFit="1" customWidth="1"/>
  </cols>
  <sheetData>
    <row r="1" spans="1:4" x14ac:dyDescent="0.25">
      <c r="A1" s="1" t="s">
        <v>23</v>
      </c>
      <c r="B1" s="1" t="s">
        <v>24</v>
      </c>
    </row>
    <row r="2" spans="1:4" ht="15" customHeight="1" x14ac:dyDescent="0.25">
      <c r="A2" s="5" t="s">
        <v>25</v>
      </c>
      <c r="B2" s="6">
        <f>'Detalle costos'!D13</f>
        <v>798.2399999999999</v>
      </c>
      <c r="C2" s="4"/>
      <c r="D2" s="4"/>
    </row>
    <row r="3" spans="1:4" x14ac:dyDescent="0.25">
      <c r="A3" s="5" t="s">
        <v>26</v>
      </c>
      <c r="B3" s="6">
        <f>B2*12</f>
        <v>9578.8799999999992</v>
      </c>
    </row>
    <row r="4" spans="1:4" x14ac:dyDescent="0.25">
      <c r="A4" s="5" t="s">
        <v>27</v>
      </c>
      <c r="B4" s="6">
        <f>SUM('Detalle costos'!D2,'Detalle costos'!D3,'Detalle costos'!D7)</f>
        <v>157.72</v>
      </c>
      <c r="C4" s="3"/>
    </row>
    <row r="5" spans="1:4" x14ac:dyDescent="0.25">
      <c r="A5" s="5" t="s">
        <v>28</v>
      </c>
      <c r="B5" s="7">
        <f>SUM('Detalle costos'!D4,'Detalle costos'!D5,'Detalle costos'!D6,'Detalle costos'!D8,'Detalle costos'!D9,'Detalle costos'!D10)</f>
        <v>640.52</v>
      </c>
      <c r="C5" s="1"/>
      <c r="D5" s="1"/>
    </row>
    <row r="6" spans="1:4" x14ac:dyDescent="0.25">
      <c r="A6" s="5" t="s">
        <v>29</v>
      </c>
      <c r="B6" s="8" t="str">
        <f>_xlfn.XLOOKUP(MAX('Detalle costos'!D2:D10),'Detalle costos'!D2:D10,'Detalle costos'!A2:A10)&amp;" - "&amp;TEXT(MAX('Detalle costos'!D2:D10),"$###,##")</f>
        <v>NAT Gateway - $223,</v>
      </c>
      <c r="C6" s="6"/>
      <c r="D6" s="2"/>
    </row>
    <row r="7" spans="1:4" x14ac:dyDescent="0.25">
      <c r="A7" s="5"/>
      <c r="B7" s="6"/>
      <c r="D7" s="2"/>
    </row>
    <row r="8" spans="1:4" x14ac:dyDescent="0.25">
      <c r="D8" s="2"/>
    </row>
    <row r="9" spans="1:4" x14ac:dyDescent="0.25">
      <c r="D9" s="2"/>
    </row>
    <row r="10" spans="1:4" x14ac:dyDescent="0.25">
      <c r="A10" s="5"/>
      <c r="D10" s="2"/>
    </row>
    <row r="11" spans="1:4" x14ac:dyDescent="0.25">
      <c r="A11" s="5"/>
      <c r="D11" s="2"/>
    </row>
    <row r="12" spans="1:4" x14ac:dyDescent="0.25">
      <c r="A12" s="5"/>
      <c r="D12" s="2"/>
    </row>
    <row r="13" spans="1:4" x14ac:dyDescent="0.25">
      <c r="A13" s="5"/>
      <c r="D13" s="2"/>
    </row>
    <row r="14" spans="1:4" x14ac:dyDescent="0.25">
      <c r="D14" s="2"/>
    </row>
    <row r="15" spans="1:4" x14ac:dyDescent="0.25">
      <c r="D15" s="2"/>
    </row>
    <row r="16" spans="1:4" x14ac:dyDescent="0.25">
      <c r="D16" s="2"/>
    </row>
    <row r="17" spans="4:4" x14ac:dyDescent="0.25">
      <c r="D17" s="2"/>
    </row>
    <row r="18" spans="4:4" x14ac:dyDescent="0.25">
      <c r="D18" s="2"/>
    </row>
    <row r="19" spans="4:4" x14ac:dyDescent="0.25">
      <c r="D19" s="2"/>
    </row>
    <row r="20" spans="4:4" x14ac:dyDescent="0.25">
      <c r="D20" s="2"/>
    </row>
  </sheetData>
  <pageMargins left="0.7" right="0.7" top="0.75" bottom="0.75" header="0.3" footer="0.3"/>
  <pageSetup paperSize="9" orientation="portrait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costos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Peralta Brito</dc:creator>
  <cp:lastModifiedBy>Javier Peralta Brito</cp:lastModifiedBy>
  <dcterms:created xsi:type="dcterms:W3CDTF">2026-06-15T08:10:03Z</dcterms:created>
  <dcterms:modified xsi:type="dcterms:W3CDTF">2026-06-16T08:23:02Z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0x010100B07DE3DA4DB4154B8D7E8E250B306283</vt:lpwstr>
  </property>
</Properties>
</file>