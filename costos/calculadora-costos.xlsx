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_\OneDrive\Escritorio\Carpeta Claude\pruebatecnica-promarketing\costos\"/>
    </mc:Choice>
  </mc:AlternateContent>
  <xr:revisionPtr revIDLastSave="0" documentId="13_ncr:1_{BC6E2697-DA73-4636-B8B1-8A17F2CE7752}" xr6:coauthVersionLast="47" xr6:coauthVersionMax="47" xr10:uidLastSave="{00000000-0000-0000-0000-000000000000}"/>
  <bookViews>
    <workbookView xWindow="3120" yWindow="3120" windowWidth="21600" windowHeight="11295" xr2:uid="{26B685E1-6CF5-42DE-BF29-FD14178ECFAA}"/>
  </bookViews>
  <sheets>
    <sheet name="Detalle costos" sheetId="2" r:id="rId1"/>
    <sheet name="Resume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2" l="1"/>
  <c r="B5" i="1" s="1"/>
  <c r="D2" i="2"/>
  <c r="B6" i="1" s="1"/>
  <c r="B4" i="1" l="1"/>
  <c r="D13" i="2"/>
  <c r="B2" i="1" s="1"/>
  <c r="B3" i="1" s="1"/>
</calcChain>
</file>

<file path=xl/sharedStrings.xml><?xml version="1.0" encoding="utf-8"?>
<sst xmlns="http://schemas.openxmlformats.org/spreadsheetml/2006/main" count="30" uniqueCount="30">
  <si>
    <t>Descripción</t>
  </si>
  <si>
    <t>Redshift</t>
  </si>
  <si>
    <t>ALB</t>
  </si>
  <si>
    <t>NAT Gateway</t>
  </si>
  <si>
    <t>Costo mensual total</t>
  </si>
  <si>
    <t>Costo anual total</t>
  </si>
  <si>
    <t>Costo fijo mensual</t>
  </si>
  <si>
    <t>Costo variable mensual</t>
  </si>
  <si>
    <t>Servicio de mayor costo</t>
  </si>
  <si>
    <t>Servicio</t>
  </si>
  <si>
    <t>Cantidad</t>
  </si>
  <si>
    <t>EC2</t>
  </si>
  <si>
    <t>Estimado mensual USD</t>
  </si>
  <si>
    <t>Instancias privadas t3.micro + EBS</t>
  </si>
  <si>
    <t>RDS</t>
  </si>
  <si>
    <t>PosgreSQL db.t3.micro, Multi-AZ, 20GB</t>
  </si>
  <si>
    <t>Balanceador activo + LCU estimadas</t>
  </si>
  <si>
    <t>NAT + EIP + datos procesados</t>
  </si>
  <si>
    <t>S3 + CloudFront</t>
  </si>
  <si>
    <t>Contenido estático privado + CDN</t>
  </si>
  <si>
    <t>Redis</t>
  </si>
  <si>
    <t>ElastiCache cache.t3.micro, 1 nodo</t>
  </si>
  <si>
    <t>VPC Endpoints</t>
  </si>
  <si>
    <t>S3 Gateway + Secrets Manager Interface</t>
  </si>
  <si>
    <t>CloudWatch</t>
  </si>
  <si>
    <t>Logs, almacenamiento y alarmas</t>
  </si>
  <si>
    <t>DW dc2.large, single-node</t>
  </si>
  <si>
    <t>Total mensual estimado</t>
  </si>
  <si>
    <t>Item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</si>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</sst>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&quot;$&quot;#,##0"/>
    <numFmt numFmtId="165" formatCode="&quot;$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left" vertical="center"/>
    </xf>
    <xf numFmtId="165" fontId="0" fillId="0" borderId="0" xfId="0" applyNumberFormat="1"/>
    <xf numFmtId="165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/>
    </xf>
    <xf numFmtId="0" fontId="0" fillId="2" borderId="0" xfId="0" applyFill="1"/>
    <xf numFmtId="164" fontId="0" fillId="2" borderId="0" xfId="0" applyNumberFormat="1" applyFill="1"/>
  </cellXfs>
  <cellStyles count="2">
    <cellStyle name="Moneda [0]" xfId="1" builtinId="7"/>
    <cellStyle name="Normal" xfId="0" builtinId="0"/>
  </cellStyles>
  <dxfs count="3">
    <dxf>
      <numFmt numFmtId="165" formatCode="&quot;$&quot;#,##0.0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D33F86-8447-4945-92E2-4387645A6ED5}" name="Tabla1" displayName="Tabla1" ref="A1:D13" totalsRowShown="0">
  <autoFilter ref="A1:D13" xr:uid="{78D33F86-8447-4945-92E2-4387645A6ED5}"/>
  <tableColumns count="4">
    <tableColumn id="1" xr3:uid="{506C6553-EAB7-4D70-A1AD-D967AF070D4B}" name="Servicio"/>
    <tableColumn id="2" xr3:uid="{5ADB6187-92F2-46EB-931E-51D0647D51F5}" name="Descripción"/>
    <tableColumn id="3" xr3:uid="{FF79E979-CB6D-4CAC-B7FC-5EE5219EF8A9}" name="Cantidad"/>
    <tableColumn id="6" xr3:uid="{F6E021F8-5A80-4DBF-9758-C5B1B231E28C}" name="Estimado mensual USD" dataDxfId="0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7A40C8-34ED-435C-A7D3-7BCB628026C6}" name="Tabla2" displayName="Tabla2" ref="A1:B6" totalsRowShown="0" headerRowDxfId="2">
  <autoFilter ref="A1:B6" xr:uid="{697A40C8-34ED-435C-A7D3-7BCB628026C6}"/>
  <tableColumns count="2">
    <tableColumn id="1" xr3:uid="{D0141F3A-DAB9-4FC9-8F1B-67113496B265}" name="Item" dataDxfId="1"/>
    <tableColumn id="2" xr3:uid="{995A25EB-B1FC-49E3-894C-B861AF4E1971}" name="Valor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B8BF-80B6-4C69-9D85-7521F556D1A8}">
  <dimension ref="A1:D13"/>
  <sheetViews>
    <sheetView tabSelected="1" workbookViewId="0">
      <selection activeCell="F9" sqref="F9"/>
    </sheetView>
  </sheetViews>
  <sheetFormatPr baseColWidth="10" defaultRowHeight="15" x14ac:dyDescent="0.25"/>
  <cols>
    <col min="1" max="1" width="22.5703125" bestFit="1" customWidth="1"/>
    <col min="2" max="2" width="35.85546875" bestFit="1" customWidth="1"/>
    <col min="3" max="3" width="11.140625" customWidth="1"/>
    <col min="4" max="4" width="19.7109375" customWidth="1"/>
    <col min="5" max="5" width="20.28515625" customWidth="1"/>
    <col min="6" max="6" width="23.5703125" customWidth="1"/>
    <col min="7" max="8" width="18.140625" bestFit="1" customWidth="1"/>
    <col min="9" max="9" width="15.5703125" bestFit="1" customWidth="1"/>
    <col min="10" max="10" width="4.85546875" bestFit="1" customWidth="1"/>
  </cols>
  <sheetData>
    <row r="1" spans="1:4" x14ac:dyDescent="0.25">
      <c r="A1" t="s">
        <v>9</v>
      </c>
      <c r="B1" t="s">
        <v>0</v>
      </c>
      <c r="C1" t="s">
        <v>10</v>
      </c>
      <c r="D1" t="s">
        <v>12</v>
      </c>
    </row>
    <row r="2" spans="1:4" x14ac:dyDescent="0.25">
      <c r="A2" t="s">
        <v>11</v>
      </c>
      <c r="B2" t="s">
        <v>13</v>
      </c>
      <c r="C2">
        <v>4</v>
      </c>
      <c r="D2" s="6">
        <f>33.87+31.18</f>
        <v>65.05</v>
      </c>
    </row>
    <row r="3" spans="1:4" x14ac:dyDescent="0.25">
      <c r="A3" t="s">
        <v>14</v>
      </c>
      <c r="B3" t="s">
        <v>15</v>
      </c>
      <c r="C3">
        <v>1</v>
      </c>
      <c r="D3" s="6">
        <v>75.89</v>
      </c>
    </row>
    <row r="4" spans="1:4" x14ac:dyDescent="0.25">
      <c r="A4" t="s">
        <v>2</v>
      </c>
      <c r="B4" t="s">
        <v>16</v>
      </c>
      <c r="C4">
        <v>1</v>
      </c>
      <c r="D4" s="6">
        <v>58.54</v>
      </c>
    </row>
    <row r="5" spans="1:4" x14ac:dyDescent="0.25">
      <c r="A5" t="s">
        <v>3</v>
      </c>
      <c r="B5" t="s">
        <v>17</v>
      </c>
      <c r="C5">
        <v>1</v>
      </c>
      <c r="D5" s="6">
        <v>134.5</v>
      </c>
    </row>
    <row r="6" spans="1:4" x14ac:dyDescent="0.25">
      <c r="A6" t="s">
        <v>18</v>
      </c>
      <c r="B6" t="s">
        <v>19</v>
      </c>
      <c r="C6">
        <v>2</v>
      </c>
      <c r="D6" s="6">
        <f>3.6+200</f>
        <v>203.6</v>
      </c>
    </row>
    <row r="7" spans="1:4" x14ac:dyDescent="0.25">
      <c r="A7" t="s">
        <v>20</v>
      </c>
      <c r="B7" t="s">
        <v>21</v>
      </c>
      <c r="C7">
        <v>1</v>
      </c>
      <c r="D7" s="6">
        <v>13.87</v>
      </c>
    </row>
    <row r="8" spans="1:4" x14ac:dyDescent="0.25">
      <c r="A8" t="s">
        <v>22</v>
      </c>
      <c r="B8" t="s">
        <v>23</v>
      </c>
      <c r="C8">
        <v>2</v>
      </c>
      <c r="D8" s="6">
        <v>13.87</v>
      </c>
    </row>
    <row r="9" spans="1:4" x14ac:dyDescent="0.25">
      <c r="A9" t="s">
        <v>24</v>
      </c>
      <c r="B9" t="s">
        <v>25</v>
      </c>
      <c r="C9">
        <v>1</v>
      </c>
      <c r="D9" s="6">
        <v>56.3</v>
      </c>
    </row>
    <row r="10" spans="1:4" x14ac:dyDescent="0.25">
      <c r="A10" t="s">
        <v>1</v>
      </c>
      <c r="B10" t="s">
        <v>26</v>
      </c>
      <c r="C10">
        <v>1</v>
      </c>
      <c r="D10" s="6">
        <v>200.75</v>
      </c>
    </row>
    <row r="11" spans="1:4" x14ac:dyDescent="0.25">
      <c r="D11" s="6"/>
    </row>
    <row r="13" spans="1:4" x14ac:dyDescent="0.25">
      <c r="A13" s="9" t="s">
        <v>27</v>
      </c>
      <c r="B13" s="9"/>
      <c r="C13" s="9"/>
      <c r="D13" s="10">
        <f>SUM(D2:D11)</f>
        <v>822.37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52339-C621-4224-8EFA-E02AB3DDCC4A}">
  <dimension ref="A1:D20"/>
  <sheetViews>
    <sheetView workbookViewId="0">
      <selection activeCell="C6" sqref="C6"/>
    </sheetView>
  </sheetViews>
  <sheetFormatPr baseColWidth="10" defaultRowHeight="15" x14ac:dyDescent="0.25"/>
  <cols>
    <col min="1" max="1" width="43.140625" customWidth="1"/>
    <col min="2" max="2" width="35.140625" bestFit="1" customWidth="1"/>
    <col min="3" max="3" width="29.7109375" bestFit="1" customWidth="1"/>
    <col min="4" max="4" width="19.5703125" bestFit="1" customWidth="1"/>
  </cols>
  <sheetData>
    <row r="1" spans="1:4" x14ac:dyDescent="0.25">
      <c r="A1" s="1" t="s">
        <v>28</v>
      </c>
      <c r="B1" s="1" t="s">
        <v>29</v>
      </c>
    </row>
    <row r="2" spans="1:4" ht="15" customHeight="1" x14ac:dyDescent="0.25">
      <c r="A2" s="5" t="s">
        <v>4</v>
      </c>
      <c r="B2" s="6">
        <f>'Detalle costos'!D13</f>
        <v>822.37</v>
      </c>
      <c r="C2" s="4"/>
      <c r="D2" s="4"/>
    </row>
    <row r="3" spans="1:4" x14ac:dyDescent="0.25">
      <c r="A3" s="5" t="s">
        <v>5</v>
      </c>
      <c r="B3" s="6">
        <f>B2*12</f>
        <v>9868.44</v>
      </c>
    </row>
    <row r="4" spans="1:4" x14ac:dyDescent="0.25">
      <c r="A4" s="5" t="s">
        <v>6</v>
      </c>
      <c r="B4" s="6">
        <f>SUM('Detalle costos'!D2,'Detalle costos'!D3,'Detalle costos'!D7,'Detalle costos'!D10)</f>
        <v>355.56</v>
      </c>
      <c r="C4" s="3"/>
    </row>
    <row r="5" spans="1:4" x14ac:dyDescent="0.25">
      <c r="A5" s="5" t="s">
        <v>7</v>
      </c>
      <c r="B5" s="7">
        <f>SUM('Detalle costos'!D4,'Detalle costos'!D5,'Detalle costos'!D6,'Detalle costos'!D8,'Detalle costos'!D9)</f>
        <v>466.81</v>
      </c>
      <c r="C5" s="1"/>
      <c r="D5" s="1"/>
    </row>
    <row r="6" spans="1:4" x14ac:dyDescent="0.25">
      <c r="A6" s="5" t="s">
        <v>8</v>
      </c>
      <c r="B6" s="8" t="str">
        <f>_xlfn.XLOOKUP(MAX('Detalle costos'!D2:D10),'Detalle costos'!D2:D10,'Detalle costos'!A2:A10)&amp;" - "&amp;TEXT(MAX('Detalle costos'!D2:D10),"$###,##")</f>
        <v>S3 + CloudFront - $203,6</v>
      </c>
      <c r="C6" s="6"/>
      <c r="D6" s="2"/>
    </row>
    <row r="7" spans="1:4" x14ac:dyDescent="0.25">
      <c r="A7" s="5"/>
      <c r="B7" s="6"/>
      <c r="D7" s="2"/>
    </row>
    <row r="8" spans="1:4" x14ac:dyDescent="0.25">
      <c r="D8" s="2"/>
    </row>
    <row r="9" spans="1:4" x14ac:dyDescent="0.25">
      <c r="D9" s="2"/>
    </row>
    <row r="10" spans="1:4" x14ac:dyDescent="0.25">
      <c r="A10" s="5"/>
      <c r="D10" s="2"/>
    </row>
    <row r="11" spans="1:4" x14ac:dyDescent="0.25">
      <c r="A11" s="5"/>
      <c r="D11" s="2"/>
    </row>
    <row r="12" spans="1:4" x14ac:dyDescent="0.25">
      <c r="A12" s="5"/>
      <c r="D12" s="2"/>
    </row>
    <row r="13" spans="1:4" x14ac:dyDescent="0.25">
      <c r="A13" s="5"/>
      <c r="D13" s="2"/>
    </row>
    <row r="14" spans="1:4" x14ac:dyDescent="0.25">
      <c r="D14" s="2"/>
    </row>
    <row r="15" spans="1:4" x14ac:dyDescent="0.25">
      <c r="D15" s="2"/>
    </row>
    <row r="16" spans="1:4" x14ac:dyDescent="0.25">
      <c r="D16" s="2"/>
    </row>
    <row r="17" spans="4:4" x14ac:dyDescent="0.25">
      <c r="D17" s="2"/>
    </row>
    <row r="18" spans="4:4" x14ac:dyDescent="0.25">
      <c r="D18" s="2"/>
    </row>
    <row r="19" spans="4:4" x14ac:dyDescent="0.25">
      <c r="D19" s="2"/>
    </row>
    <row r="20" spans="4:4" x14ac:dyDescent="0.25">
      <c r="D20" s="2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7DE3DA4DB4154B8D7E8E250B306283" ma:contentTypeVersion="5" ma:contentTypeDescription="Crear nuevo documento." ma:contentTypeScope="" ma:versionID="f67a9ced3fc6aae2bfd297ad2e29aa40">
  <xsd:schema xmlns:xsd="http://www.w3.org/2001/XMLSchema" xmlns:xs="http://www.w3.org/2001/XMLSchema" xmlns:p="http://schemas.microsoft.com/office/2006/metadata/properties" xmlns:ns3="2f1c098d-6a8f-47a4-bd24-10a5618511b4" targetNamespace="http://schemas.microsoft.com/office/2006/metadata/properties" ma:root="true" ma:fieldsID="c6e553390d317e826896ea65259aa84d" ns3:_="">
    <xsd:import namespace="2f1c098d-6a8f-47a4-bd24-10a5618511b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1c098d-6a8f-47a4-bd24-10a5618511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f1c098d-6a8f-47a4-bd24-10a5618511b4" xsi:nil="true"/>
  </documentManagement>
</p:properties>
</file>

<file path=customXml/itemProps1.xml><?xml version="1.0" encoding="utf-8"?>
<ds:datastoreItem xmlns:ds="http://schemas.openxmlformats.org/officeDocument/2006/customXml" ds:itemID="{04736FFF-81DB-499D-83BC-A60308C909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A651CE-4A1A-427F-A00D-A3BB693585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1c098d-6a8f-47a4-bd24-10a561851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EEA1B3-79C0-4BAE-94D2-1B8B82D6124B}">
  <ds:schemaRefs>
    <ds:schemaRef ds:uri="http://purl.org/dc/dcmitype/"/>
    <ds:schemaRef ds:uri="http://purl.org/dc/elements/1.1/"/>
    <ds:schemaRef ds:uri="2f1c098d-6a8f-47a4-bd24-10a5618511b4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 costos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Peralta Brito</dc:creator>
  <cp:lastModifiedBy>Javier Peralta Brito</cp:lastModifiedBy>
  <dcterms:created xsi:type="dcterms:W3CDTF">2026-06-15T08:10:03Z</dcterms:created>
  <dcterms:modified xsi:type="dcterms:W3CDTF">2026-06-15T17:34:17Z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0x010100B07DE3DA4DB4154B8D7E8E250B306283</vt:lpwstr>
  </property>
</Properties>
</file>